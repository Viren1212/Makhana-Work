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SIO\makhana work_july2026\"/>
    </mc:Choice>
  </mc:AlternateContent>
  <xr:revisionPtr revIDLastSave="0" documentId="13_ncr:1_{BDC7AE72-1F32-4AA6-BB03-67C25FDF83C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Grade 3" sheetId="1" r:id="rId1"/>
    <sheet name="Grade 4" sheetId="2" r:id="rId2"/>
    <sheet name="Grade 5" sheetId="3" r:id="rId3"/>
    <sheet name="Grade 6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" i="2"/>
  <c r="H2" i="3"/>
  <c r="H13" i="3"/>
  <c r="H14" i="3"/>
  <c r="H15" i="3"/>
  <c r="H16" i="3"/>
  <c r="H17" i="3"/>
  <c r="H18" i="3"/>
  <c r="H19" i="3"/>
  <c r="H20" i="3"/>
  <c r="H21" i="3"/>
  <c r="F3" i="3"/>
  <c r="H3" i="3" s="1"/>
  <c r="F4" i="3"/>
  <c r="H4" i="3" s="1"/>
  <c r="F5" i="3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F14" i="3"/>
  <c r="F15" i="3"/>
  <c r="F16" i="3"/>
  <c r="F17" i="3"/>
  <c r="F18" i="3"/>
  <c r="F19" i="3"/>
  <c r="F20" i="3"/>
  <c r="F21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H2" i="6"/>
  <c r="H6" i="6"/>
  <c r="H7" i="6"/>
  <c r="H8" i="6"/>
  <c r="H9" i="6"/>
  <c r="H10" i="6"/>
  <c r="H11" i="6"/>
  <c r="H13" i="6"/>
  <c r="H14" i="6"/>
  <c r="H15" i="6"/>
  <c r="H16" i="6"/>
  <c r="H17" i="6"/>
  <c r="H18" i="6"/>
  <c r="H19" i="6"/>
  <c r="H20" i="6"/>
  <c r="H21" i="6"/>
  <c r="F3" i="6"/>
  <c r="H3" i="6" s="1"/>
  <c r="F4" i="6"/>
  <c r="H4" i="6" s="1"/>
  <c r="F5" i="6"/>
  <c r="H5" i="6" s="1"/>
  <c r="F6" i="6"/>
  <c r="F7" i="6"/>
  <c r="F8" i="6"/>
  <c r="F9" i="6"/>
  <c r="F10" i="6"/>
  <c r="F11" i="6"/>
  <c r="F12" i="6"/>
  <c r="H12" i="6" s="1"/>
  <c r="F13" i="6"/>
  <c r="F14" i="6"/>
  <c r="F15" i="6"/>
  <c r="F16" i="6"/>
  <c r="F17" i="6"/>
  <c r="F18" i="6"/>
  <c r="F19" i="6"/>
  <c r="F20" i="6"/>
  <c r="F21" i="6"/>
  <c r="F2" i="6"/>
  <c r="F2" i="3"/>
  <c r="F2" i="1"/>
</calcChain>
</file>

<file path=xl/sharedStrings.xml><?xml version="1.0" encoding="utf-8"?>
<sst xmlns="http://schemas.openxmlformats.org/spreadsheetml/2006/main" count="128" uniqueCount="35">
  <si>
    <t>Kernel ID</t>
  </si>
  <si>
    <t>Grade</t>
  </si>
  <si>
    <t>Manual Diameter 1</t>
  </si>
  <si>
    <t>Manual Diameter 2</t>
  </si>
  <si>
    <t>Manual Diameter 3</t>
  </si>
  <si>
    <t>Image Diameter</t>
  </si>
  <si>
    <t>Aspect Ratio</t>
  </si>
  <si>
    <t xml:space="preserve">White % </t>
  </si>
  <si>
    <t>Whiteness</t>
  </si>
  <si>
    <t>A1</t>
  </si>
  <si>
    <t>A2</t>
  </si>
  <si>
    <t>A3</t>
  </si>
  <si>
    <t>A4</t>
  </si>
  <si>
    <t>A5</t>
  </si>
  <si>
    <t>B1</t>
  </si>
  <si>
    <t>B2</t>
  </si>
  <si>
    <t>B3</t>
  </si>
  <si>
    <t>B4</t>
  </si>
  <si>
    <t>B5</t>
  </si>
  <si>
    <t>C1</t>
  </si>
  <si>
    <t>C2</t>
  </si>
  <si>
    <t>C3</t>
  </si>
  <si>
    <t>C4</t>
  </si>
  <si>
    <t>C5</t>
  </si>
  <si>
    <t>D1</t>
  </si>
  <si>
    <t>D2</t>
  </si>
  <si>
    <t>D3</t>
  </si>
  <si>
    <t>D4</t>
  </si>
  <si>
    <t>D5</t>
  </si>
  <si>
    <t>Circularity</t>
  </si>
  <si>
    <t xml:space="preserve">         Mean</t>
  </si>
  <si>
    <t xml:space="preserve">           Mean</t>
  </si>
  <si>
    <t xml:space="preserve">        Mean</t>
  </si>
  <si>
    <t>difference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</si>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</sst>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2" fillId="0" borderId="0" xfId="0" applyNumberFormat="1" applyFont="1"/>
    <xf numFmtId="0" fontId="0" fillId="0" borderId="0" xfId="0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opLeftCell="A4" workbookViewId="0">
      <selection activeCell="H2" sqref="H2:H21"/>
    </sheetView>
  </sheetViews>
  <sheetFormatPr defaultColWidth="14.44140625" defaultRowHeight="21" x14ac:dyDescent="0.4"/>
  <cols>
    <col min="1" max="2" width="14.44140625" style="1"/>
    <col min="3" max="3" width="26.109375" style="1" customWidth="1"/>
    <col min="4" max="4" width="29.6640625" style="1" customWidth="1"/>
    <col min="5" max="5" width="25.109375" style="1" customWidth="1"/>
    <col min="6" max="8" width="21.33203125" style="1" customWidth="1"/>
    <col min="9" max="9" width="16.109375" style="1" customWidth="1"/>
    <col min="10" max="10" width="22" style="1" customWidth="1"/>
    <col min="11" max="16384" width="14.44140625" style="1"/>
  </cols>
  <sheetData>
    <row r="1" spans="1:1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5</v>
      </c>
      <c r="H1" s="1" t="s">
        <v>34</v>
      </c>
      <c r="I1" s="1" t="s">
        <v>29</v>
      </c>
      <c r="J1" s="1" t="s">
        <v>6</v>
      </c>
      <c r="K1" s="1" t="s">
        <v>7</v>
      </c>
      <c r="L1" s="1" t="s">
        <v>8</v>
      </c>
    </row>
    <row r="2" spans="1:12" x14ac:dyDescent="0.4">
      <c r="A2" s="1" t="s">
        <v>9</v>
      </c>
      <c r="B2" s="1">
        <v>3</v>
      </c>
      <c r="C2" s="1">
        <v>16.45</v>
      </c>
      <c r="D2" s="1">
        <v>16.100000000000001</v>
      </c>
      <c r="E2" s="1">
        <v>16.21</v>
      </c>
      <c r="F2" s="2">
        <f>AVERAGE(C2:E2)</f>
        <v>16.253333333333334</v>
      </c>
      <c r="G2" s="2">
        <v>14.96108205776428</v>
      </c>
      <c r="H2" s="2">
        <f>F2-G2</f>
        <v>1.2922512755690541</v>
      </c>
      <c r="I2" s="2">
        <v>0.82209827425637672</v>
      </c>
      <c r="J2" s="2">
        <v>0.69639745543528886</v>
      </c>
      <c r="K2" s="2">
        <v>66.64244067073821</v>
      </c>
      <c r="L2" s="2">
        <v>44.962103599874503</v>
      </c>
    </row>
    <row r="3" spans="1:12" x14ac:dyDescent="0.4">
      <c r="A3" s="1" t="s">
        <v>10</v>
      </c>
      <c r="B3" s="1">
        <v>3</v>
      </c>
      <c r="C3" s="1">
        <v>12.95</v>
      </c>
      <c r="D3" s="1">
        <v>12.4</v>
      </c>
      <c r="E3" s="1">
        <v>13.15</v>
      </c>
      <c r="F3" s="2">
        <f t="shared" ref="F3:F21" si="0">AVERAGE(C3:E3)</f>
        <v>12.833333333333334</v>
      </c>
      <c r="G3" s="2">
        <v>12.794509573763049</v>
      </c>
      <c r="H3" s="2">
        <f t="shared" ref="H3:H21" si="1">F3-G3</f>
        <v>3.8823759570284722E-2</v>
      </c>
      <c r="I3" s="2">
        <v>0.91168138638774532</v>
      </c>
      <c r="J3" s="2">
        <v>0.85996793534687732</v>
      </c>
      <c r="K3" s="2">
        <v>70.824478602014807</v>
      </c>
      <c r="L3" s="2">
        <v>47.628696796401641</v>
      </c>
    </row>
    <row r="4" spans="1:12" x14ac:dyDescent="0.4">
      <c r="A4" s="1" t="s">
        <v>11</v>
      </c>
      <c r="B4" s="1">
        <v>3</v>
      </c>
      <c r="C4" s="1">
        <v>13.1</v>
      </c>
      <c r="D4" s="1">
        <v>12.42</v>
      </c>
      <c r="E4" s="1">
        <v>12.84</v>
      </c>
      <c r="F4" s="2">
        <f t="shared" si="0"/>
        <v>12.786666666666667</v>
      </c>
      <c r="G4" s="2">
        <v>12.996826360112239</v>
      </c>
      <c r="H4" s="2">
        <f t="shared" si="1"/>
        <v>-0.21015969344557206</v>
      </c>
      <c r="I4" s="2">
        <v>0.93920576870014305</v>
      </c>
      <c r="J4" s="2">
        <v>0.84446954116494666</v>
      </c>
      <c r="K4" s="2">
        <v>73.852137130633125</v>
      </c>
      <c r="L4" s="2">
        <v>49.816495547109866</v>
      </c>
    </row>
    <row r="5" spans="1:12" x14ac:dyDescent="0.4">
      <c r="A5" s="1" t="s">
        <v>12</v>
      </c>
      <c r="B5" s="1">
        <v>3</v>
      </c>
      <c r="C5" s="1">
        <v>13.22</v>
      </c>
      <c r="D5" s="1">
        <v>12.7</v>
      </c>
      <c r="E5" s="1">
        <v>13.03</v>
      </c>
      <c r="F5" s="2">
        <f t="shared" si="0"/>
        <v>12.983333333333334</v>
      </c>
      <c r="G5" s="2">
        <v>12.794509573763049</v>
      </c>
      <c r="H5" s="2">
        <f t="shared" si="1"/>
        <v>0.18882375957028508</v>
      </c>
      <c r="I5" s="2">
        <v>0.90782995623778195</v>
      </c>
      <c r="J5" s="2">
        <v>0.92754225262317935</v>
      </c>
      <c r="K5" s="2">
        <v>73.643809079475844</v>
      </c>
      <c r="L5" s="2">
        <v>47.229169112754882</v>
      </c>
    </row>
    <row r="6" spans="1:12" x14ac:dyDescent="0.4">
      <c r="A6" s="1" t="s">
        <v>13</v>
      </c>
      <c r="B6" s="1">
        <v>3</v>
      </c>
      <c r="C6" s="1">
        <v>11.82</v>
      </c>
      <c r="D6" s="1">
        <v>11.4</v>
      </c>
      <c r="E6" s="1">
        <v>11.95</v>
      </c>
      <c r="F6" s="2">
        <f t="shared" si="0"/>
        <v>11.723333333333334</v>
      </c>
      <c r="G6" s="2">
        <v>10.924573379215509</v>
      </c>
      <c r="H6" s="2">
        <f t="shared" si="1"/>
        <v>0.79875995411782519</v>
      </c>
      <c r="I6" s="2">
        <v>0.35283657976262328</v>
      </c>
      <c r="J6" s="2">
        <v>0.7654867539039989</v>
      </c>
      <c r="K6" s="2">
        <v>50.50543579339427</v>
      </c>
      <c r="L6" s="2">
        <v>41.629769274535278</v>
      </c>
    </row>
    <row r="7" spans="1:12" x14ac:dyDescent="0.4">
      <c r="A7" s="1" t="s">
        <v>14</v>
      </c>
      <c r="B7" s="1">
        <v>3</v>
      </c>
      <c r="C7" s="1">
        <v>16.329999999999998</v>
      </c>
      <c r="D7" s="1">
        <v>15.92</v>
      </c>
      <c r="E7" s="1">
        <v>15.95</v>
      </c>
      <c r="F7" s="2">
        <f t="shared" si="0"/>
        <v>16.066666666666666</v>
      </c>
      <c r="G7" s="2">
        <v>14.92808237022531</v>
      </c>
      <c r="H7" s="2">
        <f t="shared" si="1"/>
        <v>1.1385842964413566</v>
      </c>
      <c r="I7" s="2">
        <v>0.588981492238279</v>
      </c>
      <c r="J7" s="2">
        <v>0.694126431492051</v>
      </c>
      <c r="K7" s="2">
        <v>67.029601265427772</v>
      </c>
      <c r="L7" s="2">
        <v>46.221095857199131</v>
      </c>
    </row>
    <row r="8" spans="1:12" x14ac:dyDescent="0.4">
      <c r="A8" s="1" t="s">
        <v>15</v>
      </c>
      <c r="B8" s="1">
        <v>3</v>
      </c>
      <c r="C8" s="1">
        <v>13.79</v>
      </c>
      <c r="D8" s="1">
        <v>13.72</v>
      </c>
      <c r="E8" s="1">
        <v>13.98</v>
      </c>
      <c r="F8" s="2">
        <f t="shared" si="0"/>
        <v>13.829999999999998</v>
      </c>
      <c r="G8" s="2">
        <v>13.208091747115731</v>
      </c>
      <c r="H8" s="2">
        <f t="shared" si="1"/>
        <v>0.62190825288426765</v>
      </c>
      <c r="I8" s="2">
        <v>0.61255856416610921</v>
      </c>
      <c r="J8" s="2">
        <v>0.74863959163959259</v>
      </c>
      <c r="K8" s="2">
        <v>60.052318979823568</v>
      </c>
      <c r="L8" s="2">
        <v>41.152847929132022</v>
      </c>
    </row>
    <row r="9" spans="1:12" x14ac:dyDescent="0.4">
      <c r="A9" s="1" t="s">
        <v>16</v>
      </c>
      <c r="B9" s="1">
        <v>3</v>
      </c>
      <c r="C9" s="1">
        <v>12.72</v>
      </c>
      <c r="D9" s="1">
        <v>12.7</v>
      </c>
      <c r="E9" s="1">
        <v>12.74</v>
      </c>
      <c r="F9" s="2">
        <f t="shared" si="0"/>
        <v>12.72</v>
      </c>
      <c r="G9" s="2">
        <v>12.99988609280056</v>
      </c>
      <c r="H9" s="2">
        <f t="shared" si="1"/>
        <v>-0.27988609280055954</v>
      </c>
      <c r="I9" s="2">
        <v>0.96296024697959426</v>
      </c>
      <c r="J9" s="2">
        <v>0.88851991710791001</v>
      </c>
      <c r="K9" s="2">
        <v>74.240502763103493</v>
      </c>
      <c r="L9" s="2">
        <v>55.228083066039289</v>
      </c>
    </row>
    <row r="10" spans="1:12" x14ac:dyDescent="0.4">
      <c r="A10" s="1" t="s">
        <v>17</v>
      </c>
      <c r="B10" s="1">
        <v>3</v>
      </c>
      <c r="C10" s="1">
        <v>12.2</v>
      </c>
      <c r="D10" s="1">
        <v>12.04</v>
      </c>
      <c r="E10" s="1">
        <v>12.28</v>
      </c>
      <c r="F10" s="2">
        <f t="shared" si="0"/>
        <v>12.173333333333332</v>
      </c>
      <c r="G10" s="2">
        <v>12.949615182519549</v>
      </c>
      <c r="H10" s="2">
        <f t="shared" si="1"/>
        <v>-0.77628184918621734</v>
      </c>
      <c r="I10" s="2">
        <v>0.95905142890269823</v>
      </c>
      <c r="J10" s="2">
        <v>0.90224248629653314</v>
      </c>
      <c r="K10" s="2">
        <v>72.506008173941055</v>
      </c>
      <c r="L10" s="2">
        <v>48.963392917304382</v>
      </c>
    </row>
    <row r="11" spans="1:12" x14ac:dyDescent="0.4">
      <c r="A11" s="1" t="s">
        <v>18</v>
      </c>
      <c r="B11" s="1">
        <v>3</v>
      </c>
      <c r="C11" s="1">
        <v>12.29</v>
      </c>
      <c r="D11" s="1">
        <v>12.16</v>
      </c>
      <c r="E11" s="1">
        <v>12.18</v>
      </c>
      <c r="F11" s="2">
        <f t="shared" si="0"/>
        <v>12.209999999999999</v>
      </c>
      <c r="G11" s="2">
        <v>13.20267057138974</v>
      </c>
      <c r="H11" s="2">
        <f t="shared" si="1"/>
        <v>-0.99267057138974124</v>
      </c>
      <c r="I11" s="2">
        <v>0.96495288061802309</v>
      </c>
      <c r="J11" s="2">
        <v>0.90787928759894454</v>
      </c>
      <c r="K11" s="2">
        <v>79.636362224558823</v>
      </c>
      <c r="L11" s="2">
        <v>50.022712125995298</v>
      </c>
    </row>
    <row r="12" spans="1:12" x14ac:dyDescent="0.4">
      <c r="A12" s="1" t="s">
        <v>19</v>
      </c>
      <c r="B12" s="1">
        <v>3</v>
      </c>
      <c r="C12" s="1">
        <v>11.98</v>
      </c>
      <c r="D12" s="1">
        <v>11.78</v>
      </c>
      <c r="E12" s="1">
        <v>12.2</v>
      </c>
      <c r="F12" s="2">
        <f t="shared" si="0"/>
        <v>11.986666666666665</v>
      </c>
      <c r="G12" s="2">
        <v>11.995552113335309</v>
      </c>
      <c r="H12" s="2">
        <f t="shared" si="1"/>
        <v>-8.8854466686445477E-3</v>
      </c>
      <c r="I12" s="2">
        <v>0.85341113944494307</v>
      </c>
      <c r="J12" s="2">
        <v>0.87275002781900313</v>
      </c>
      <c r="K12" s="2">
        <v>69.86057249808465</v>
      </c>
      <c r="L12" s="2">
        <v>45.613061168195287</v>
      </c>
    </row>
    <row r="13" spans="1:12" x14ac:dyDescent="0.4">
      <c r="A13" s="1" t="s">
        <v>20</v>
      </c>
      <c r="B13" s="1">
        <v>3</v>
      </c>
      <c r="C13" s="1">
        <v>12.58</v>
      </c>
      <c r="D13" s="1">
        <v>12.24</v>
      </c>
      <c r="E13" s="1">
        <v>12.77</v>
      </c>
      <c r="F13" s="2">
        <f t="shared" si="0"/>
        <v>12.530000000000001</v>
      </c>
      <c r="G13" s="2">
        <v>12.48871076290424</v>
      </c>
      <c r="H13" s="2">
        <f t="shared" si="1"/>
        <v>4.1289237095760711E-2</v>
      </c>
      <c r="I13" s="2">
        <v>0.68757425266601446</v>
      </c>
      <c r="J13" s="2">
        <v>0.89529549209779802</v>
      </c>
      <c r="K13" s="2">
        <v>64.035881242835387</v>
      </c>
      <c r="L13" s="2">
        <v>48.461903406395287</v>
      </c>
    </row>
    <row r="14" spans="1:12" x14ac:dyDescent="0.4">
      <c r="A14" s="1" t="s">
        <v>21</v>
      </c>
      <c r="B14" s="1">
        <v>3</v>
      </c>
      <c r="C14" s="1">
        <v>13.16</v>
      </c>
      <c r="D14" s="1">
        <v>13.14</v>
      </c>
      <c r="E14" s="1">
        <v>13.47</v>
      </c>
      <c r="F14" s="2">
        <f t="shared" si="0"/>
        <v>13.256666666666668</v>
      </c>
      <c r="G14" s="2">
        <v>13.04996335152854</v>
      </c>
      <c r="H14" s="2">
        <f t="shared" si="1"/>
        <v>0.20670331513812812</v>
      </c>
      <c r="I14" s="2">
        <v>0.6784226978402832</v>
      </c>
      <c r="J14" s="2">
        <v>0.80034480891531634</v>
      </c>
      <c r="K14" s="2">
        <v>69.259946404162179</v>
      </c>
      <c r="L14" s="2">
        <v>46.396845588844528</v>
      </c>
    </row>
    <row r="15" spans="1:12" x14ac:dyDescent="0.4">
      <c r="A15" s="1" t="s">
        <v>22</v>
      </c>
      <c r="B15" s="1">
        <v>3</v>
      </c>
      <c r="C15" s="1">
        <v>12.21</v>
      </c>
      <c r="D15" s="1">
        <v>11.58</v>
      </c>
      <c r="E15" s="1">
        <v>12.11</v>
      </c>
      <c r="F15" s="2">
        <f t="shared" si="0"/>
        <v>11.966666666666667</v>
      </c>
      <c r="G15" s="2">
        <v>12.071568220161231</v>
      </c>
      <c r="H15" s="2">
        <f t="shared" si="1"/>
        <v>-0.10490155349456387</v>
      </c>
      <c r="I15" s="2">
        <v>0.79238671070817324</v>
      </c>
      <c r="J15" s="2">
        <v>0.75840466321243527</v>
      </c>
      <c r="K15" s="2">
        <v>72.632274549186548</v>
      </c>
      <c r="L15" s="2">
        <v>50.327499778191822</v>
      </c>
    </row>
    <row r="16" spans="1:12" x14ac:dyDescent="0.4">
      <c r="A16" s="1" t="s">
        <v>23</v>
      </c>
      <c r="B16" s="1">
        <v>3</v>
      </c>
      <c r="C16" s="1">
        <v>13.45</v>
      </c>
      <c r="D16" s="1">
        <v>12.6</v>
      </c>
      <c r="E16" s="1">
        <v>13.21</v>
      </c>
      <c r="F16" s="2">
        <f t="shared" si="0"/>
        <v>13.086666666666666</v>
      </c>
      <c r="G16" s="2">
        <v>13.792571079788511</v>
      </c>
      <c r="H16" s="2">
        <f t="shared" si="1"/>
        <v>-0.7059044131218446</v>
      </c>
      <c r="I16" s="2">
        <v>0.92114574846671027</v>
      </c>
      <c r="J16" s="2">
        <v>0.93650107915982583</v>
      </c>
      <c r="K16" s="2">
        <v>79.079365982573975</v>
      </c>
      <c r="L16" s="2">
        <v>53.082943232814408</v>
      </c>
    </row>
    <row r="17" spans="1:12" x14ac:dyDescent="0.4">
      <c r="A17" s="1" t="s">
        <v>24</v>
      </c>
      <c r="B17" s="1">
        <v>3</v>
      </c>
      <c r="C17" s="1">
        <v>12.64</v>
      </c>
      <c r="D17" s="1">
        <v>11.9</v>
      </c>
      <c r="E17" s="1">
        <v>12.52</v>
      </c>
      <c r="F17" s="2">
        <f t="shared" si="0"/>
        <v>12.353333333333333</v>
      </c>
      <c r="G17" s="2">
        <v>12.49125817971052</v>
      </c>
      <c r="H17" s="2">
        <f t="shared" si="1"/>
        <v>-0.13792484637718694</v>
      </c>
      <c r="I17" s="2">
        <v>0.82166633146678425</v>
      </c>
      <c r="J17" s="2">
        <v>0.9166347375151882</v>
      </c>
      <c r="K17" s="2">
        <v>72.365091693605223</v>
      </c>
      <c r="L17" s="2">
        <v>47.704356491140658</v>
      </c>
    </row>
    <row r="18" spans="1:12" x14ac:dyDescent="0.4">
      <c r="A18" s="1" t="s">
        <v>25</v>
      </c>
      <c r="B18" s="1">
        <v>3</v>
      </c>
      <c r="C18" s="1">
        <v>11.02</v>
      </c>
      <c r="D18" s="1">
        <v>11.02</v>
      </c>
      <c r="E18" s="1">
        <v>10.58</v>
      </c>
      <c r="F18" s="2">
        <f t="shared" si="0"/>
        <v>10.873333333333333</v>
      </c>
      <c r="G18" s="2">
        <v>11.66610720837952</v>
      </c>
      <c r="H18" s="2">
        <f t="shared" si="1"/>
        <v>-0.79277387504618702</v>
      </c>
      <c r="I18" s="2">
        <v>0.8941068498974164</v>
      </c>
      <c r="J18" s="2">
        <v>0.91229361301078782</v>
      </c>
      <c r="K18" s="2">
        <v>71.192162816509381</v>
      </c>
      <c r="L18" s="2">
        <v>51.621043267092247</v>
      </c>
    </row>
    <row r="19" spans="1:12" x14ac:dyDescent="0.4">
      <c r="A19" s="1" t="s">
        <v>26</v>
      </c>
      <c r="B19" s="1">
        <v>3</v>
      </c>
      <c r="C19" s="1">
        <v>12.08</v>
      </c>
      <c r="D19" s="1">
        <v>11.28</v>
      </c>
      <c r="E19" s="1">
        <v>11.63</v>
      </c>
      <c r="F19" s="2">
        <f t="shared" si="0"/>
        <v>11.663333333333334</v>
      </c>
      <c r="G19" s="2">
        <v>12.54463443704064</v>
      </c>
      <c r="H19" s="2">
        <f t="shared" si="1"/>
        <v>-0.88130110370730641</v>
      </c>
      <c r="I19" s="2">
        <v>0.85179946319068334</v>
      </c>
      <c r="J19" s="2">
        <v>0.87396363849317849</v>
      </c>
      <c r="K19" s="2">
        <v>74.331691592831206</v>
      </c>
      <c r="L19" s="2">
        <v>50.010224017330223</v>
      </c>
    </row>
    <row r="20" spans="1:12" x14ac:dyDescent="0.4">
      <c r="A20" s="1" t="s">
        <v>27</v>
      </c>
      <c r="B20" s="1">
        <v>3</v>
      </c>
      <c r="C20" s="1">
        <v>11.21</v>
      </c>
      <c r="D20" s="1">
        <v>10.74</v>
      </c>
      <c r="E20" s="1">
        <v>11.03</v>
      </c>
      <c r="F20" s="2">
        <f t="shared" si="0"/>
        <v>10.993333333333334</v>
      </c>
      <c r="G20" s="2">
        <v>12.27413641478002</v>
      </c>
      <c r="H20" s="2">
        <f t="shared" si="1"/>
        <v>-1.2808030814466864</v>
      </c>
      <c r="I20" s="2">
        <v>0.99433926334633349</v>
      </c>
      <c r="J20" s="2">
        <v>0.97452102089316539</v>
      </c>
      <c r="K20" s="2">
        <v>76.233202629656674</v>
      </c>
      <c r="L20" s="2">
        <v>51.835552499426967</v>
      </c>
    </row>
    <row r="21" spans="1:12" x14ac:dyDescent="0.4">
      <c r="A21" s="1" t="s">
        <v>28</v>
      </c>
      <c r="B21" s="1">
        <v>3</v>
      </c>
      <c r="C21" s="1">
        <v>14.09</v>
      </c>
      <c r="D21" s="1">
        <v>14.04</v>
      </c>
      <c r="E21" s="1">
        <v>14.37</v>
      </c>
      <c r="F21" s="2">
        <f t="shared" si="0"/>
        <v>14.166666666666666</v>
      </c>
      <c r="G21" s="2">
        <v>14.268785493482889</v>
      </c>
      <c r="H21" s="2">
        <f t="shared" si="1"/>
        <v>-0.10211882681622342</v>
      </c>
      <c r="I21" s="2">
        <v>0.89792441660965971</v>
      </c>
      <c r="J21" s="2">
        <v>0.84748647303685087</v>
      </c>
      <c r="K21" s="2">
        <v>79.995060047102641</v>
      </c>
      <c r="L21" s="2">
        <v>49.347003484841693</v>
      </c>
    </row>
  </sheetData>
  <conditionalFormatting sqref="H2:H21">
    <cfRule type="cellIs" dxfId="11" priority="2" operator="greaterThan">
      <formula>0.5</formula>
    </cfRule>
    <cfRule type="cellIs" dxfId="12" priority="1" operator="lessThan">
      <formula>-0.5</formula>
    </cfRule>
  </conditionalFormatting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"/>
  <sheetViews>
    <sheetView topLeftCell="D1" workbookViewId="0">
      <selection activeCell="H3" sqref="H3"/>
    </sheetView>
  </sheetViews>
  <sheetFormatPr defaultRowHeight="14.4" x14ac:dyDescent="0.3"/>
  <cols>
    <col min="1" max="1" width="13.88671875" customWidth="1"/>
    <col min="2" max="2" width="10.5546875" customWidth="1"/>
    <col min="3" max="3" width="25.44140625" customWidth="1"/>
    <col min="4" max="4" width="26.109375" customWidth="1"/>
    <col min="5" max="6" width="28" customWidth="1"/>
    <col min="7" max="7" width="21" customWidth="1"/>
    <col min="8" max="8" width="21" style="4" customWidth="1"/>
    <col min="9" max="9" width="16.109375" customWidth="1"/>
    <col min="10" max="10" width="20.6640625" customWidth="1"/>
    <col min="11" max="11" width="13.88671875" customWidth="1"/>
    <col min="12" max="12" width="14.88671875" customWidth="1"/>
  </cols>
  <sheetData>
    <row r="1" spans="1:12" ht="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31</v>
      </c>
      <c r="G1" s="1" t="s">
        <v>5</v>
      </c>
      <c r="H1" s="1" t="s">
        <v>34</v>
      </c>
      <c r="I1" s="1" t="s">
        <v>29</v>
      </c>
      <c r="J1" s="1" t="s">
        <v>6</v>
      </c>
      <c r="K1" s="1" t="s">
        <v>7</v>
      </c>
      <c r="L1" s="1" t="s">
        <v>8</v>
      </c>
    </row>
    <row r="2" spans="1:12" ht="21" x14ac:dyDescent="0.4">
      <c r="A2" s="1" t="s">
        <v>9</v>
      </c>
      <c r="B2" s="1">
        <v>4</v>
      </c>
      <c r="C2" s="1">
        <v>19.63</v>
      </c>
      <c r="D2" s="1">
        <v>19.22</v>
      </c>
      <c r="E2" s="1">
        <v>19.850000000000001</v>
      </c>
      <c r="F2" s="2">
        <f>AVERAGE(C2:E2)</f>
        <v>19.566666666666666</v>
      </c>
      <c r="G2" s="2">
        <v>19.499115272525</v>
      </c>
      <c r="H2" s="2">
        <f>F2-G2</f>
        <v>6.7551394141666776E-2</v>
      </c>
      <c r="I2" s="2">
        <v>0.92664786993619785</v>
      </c>
      <c r="J2" s="2">
        <v>0.89662445626992826</v>
      </c>
      <c r="K2" s="2">
        <v>92.109182082946816</v>
      </c>
      <c r="L2" s="2">
        <v>46.441290426931928</v>
      </c>
    </row>
    <row r="3" spans="1:12" ht="21" x14ac:dyDescent="0.4">
      <c r="A3" s="1" t="s">
        <v>10</v>
      </c>
      <c r="B3" s="1">
        <v>4</v>
      </c>
      <c r="C3" s="1">
        <v>20.18</v>
      </c>
      <c r="D3" s="1">
        <v>19.7</v>
      </c>
      <c r="E3" s="1">
        <v>21.15</v>
      </c>
      <c r="F3" s="2">
        <f t="shared" ref="F3:F21" si="0">AVERAGE(C3:E3)</f>
        <v>20.34333333333333</v>
      </c>
      <c r="G3" s="2">
        <v>20.997401978703241</v>
      </c>
      <c r="H3" s="2">
        <f t="shared" ref="H3:H21" si="1">F3-G3</f>
        <v>-0.65406864536991094</v>
      </c>
      <c r="I3" s="2">
        <v>0.96936803875199318</v>
      </c>
      <c r="J3" s="2">
        <v>0.95271378462408807</v>
      </c>
      <c r="K3" s="2">
        <v>90.55157706587562</v>
      </c>
      <c r="L3" s="2">
        <v>47.853078629560727</v>
      </c>
    </row>
    <row r="4" spans="1:12" ht="21" x14ac:dyDescent="0.4">
      <c r="A4" s="1" t="s">
        <v>11</v>
      </c>
      <c r="B4" s="1">
        <v>4</v>
      </c>
      <c r="C4" s="1">
        <v>19.5</v>
      </c>
      <c r="D4" s="1">
        <v>19.52</v>
      </c>
      <c r="E4" s="1">
        <v>19.82</v>
      </c>
      <c r="F4" s="2">
        <f t="shared" si="0"/>
        <v>19.613333333333333</v>
      </c>
      <c r="G4" s="2">
        <v>19.952760945780021</v>
      </c>
      <c r="H4" s="2">
        <f t="shared" si="1"/>
        <v>-0.33942761244668773</v>
      </c>
      <c r="I4" s="2">
        <v>0.87934639447755569</v>
      </c>
      <c r="J4" s="2">
        <v>0.89866210723146189</v>
      </c>
      <c r="K4" s="2">
        <v>93.495648359119684</v>
      </c>
      <c r="L4" s="2">
        <v>50.678240220886373</v>
      </c>
    </row>
    <row r="5" spans="1:12" ht="21" x14ac:dyDescent="0.4">
      <c r="A5" s="1" t="s">
        <v>12</v>
      </c>
      <c r="B5" s="1">
        <v>4</v>
      </c>
      <c r="C5" s="1">
        <v>23.52</v>
      </c>
      <c r="D5" s="1">
        <v>22.98</v>
      </c>
      <c r="E5" s="1">
        <v>23.72</v>
      </c>
      <c r="F5" s="2">
        <f t="shared" si="0"/>
        <v>23.406666666666666</v>
      </c>
      <c r="G5" s="2">
        <v>22.404198036428621</v>
      </c>
      <c r="H5" s="2">
        <f t="shared" si="1"/>
        <v>1.0024686302380452</v>
      </c>
      <c r="I5" s="2">
        <v>0.87607498459763844</v>
      </c>
      <c r="J5" s="2">
        <v>0.8712246587401149</v>
      </c>
      <c r="K5" s="2">
        <v>91.758126516978564</v>
      </c>
      <c r="L5" s="2">
        <v>50.913374658468527</v>
      </c>
    </row>
    <row r="6" spans="1:12" ht="21" x14ac:dyDescent="0.4">
      <c r="A6" s="1" t="s">
        <v>13</v>
      </c>
      <c r="B6" s="1">
        <v>4</v>
      </c>
      <c r="C6" s="1">
        <v>18.21</v>
      </c>
      <c r="D6" s="1">
        <v>17.46</v>
      </c>
      <c r="E6" s="1">
        <v>17.899999999999999</v>
      </c>
      <c r="F6" s="2">
        <f t="shared" si="0"/>
        <v>17.856666666666666</v>
      </c>
      <c r="G6" s="2">
        <v>17.22623237335106</v>
      </c>
      <c r="H6" s="2">
        <f t="shared" si="1"/>
        <v>0.63043429331560574</v>
      </c>
      <c r="I6" s="2">
        <v>0.8951529002097427</v>
      </c>
      <c r="J6" s="2">
        <v>0.82554388294755021</v>
      </c>
      <c r="K6" s="2">
        <v>77.904647373870802</v>
      </c>
      <c r="L6" s="2">
        <v>45.740368691824102</v>
      </c>
    </row>
    <row r="7" spans="1:12" ht="21" x14ac:dyDescent="0.4">
      <c r="A7" s="1" t="s">
        <v>14</v>
      </c>
      <c r="B7" s="1">
        <v>4</v>
      </c>
      <c r="C7" s="1">
        <v>18.420000000000002</v>
      </c>
      <c r="D7" s="1">
        <v>18.04</v>
      </c>
      <c r="E7" s="1">
        <v>18.309999999999999</v>
      </c>
      <c r="F7" s="2">
        <f t="shared" si="0"/>
        <v>18.256666666666664</v>
      </c>
      <c r="G7" s="2">
        <v>17.497001551775181</v>
      </c>
      <c r="H7" s="2">
        <f t="shared" si="1"/>
        <v>0.75966511489148303</v>
      </c>
      <c r="I7" s="2">
        <v>0.85493111447739467</v>
      </c>
      <c r="J7" s="2">
        <v>0.8466165601851755</v>
      </c>
      <c r="K7" s="2">
        <v>91.280034363338601</v>
      </c>
      <c r="L7" s="2">
        <v>51.096898529526747</v>
      </c>
    </row>
    <row r="8" spans="1:12" ht="21" x14ac:dyDescent="0.4">
      <c r="A8" s="1" t="s">
        <v>15</v>
      </c>
      <c r="B8" s="1">
        <v>4</v>
      </c>
      <c r="C8" s="1">
        <v>21.84</v>
      </c>
      <c r="D8" s="1">
        <v>21.28</v>
      </c>
      <c r="E8" s="1">
        <v>21.79</v>
      </c>
      <c r="F8" s="2">
        <f t="shared" si="0"/>
        <v>21.636666666666667</v>
      </c>
      <c r="G8" s="2">
        <v>21.330398679803551</v>
      </c>
      <c r="H8" s="2">
        <f t="shared" si="1"/>
        <v>0.30626798686311574</v>
      </c>
      <c r="I8" s="2">
        <v>0.89935698197996927</v>
      </c>
      <c r="J8" s="2">
        <v>0.81927015729162378</v>
      </c>
      <c r="K8" s="2">
        <v>94.44648146803118</v>
      </c>
      <c r="L8" s="2">
        <v>52.225707321280247</v>
      </c>
    </row>
    <row r="9" spans="1:12" ht="21" x14ac:dyDescent="0.4">
      <c r="A9" s="1" t="s">
        <v>16</v>
      </c>
      <c r="B9" s="1">
        <v>4</v>
      </c>
      <c r="C9" s="1">
        <v>20.52</v>
      </c>
      <c r="D9" s="1">
        <v>20.3</v>
      </c>
      <c r="E9" s="1">
        <v>20.54</v>
      </c>
      <c r="F9" s="2">
        <f t="shared" si="0"/>
        <v>20.453333333333333</v>
      </c>
      <c r="G9" s="2">
        <v>21.440495630920491</v>
      </c>
      <c r="H9" s="2">
        <f t="shared" si="1"/>
        <v>-0.98716229758715812</v>
      </c>
      <c r="I9" s="2">
        <v>0.89083111989567265</v>
      </c>
      <c r="J9" s="2">
        <v>0.86718677765503094</v>
      </c>
      <c r="K9" s="2">
        <v>95.011842893004683</v>
      </c>
      <c r="L9" s="2">
        <v>57.04816579494161</v>
      </c>
    </row>
    <row r="10" spans="1:12" ht="21" x14ac:dyDescent="0.4">
      <c r="A10" s="1" t="s">
        <v>17</v>
      </c>
      <c r="B10" s="1">
        <v>4</v>
      </c>
      <c r="C10" s="1">
        <v>18.77</v>
      </c>
      <c r="D10" s="1">
        <v>18.239999999999998</v>
      </c>
      <c r="E10" s="1">
        <v>18.79</v>
      </c>
      <c r="F10" s="2">
        <f t="shared" si="0"/>
        <v>18.599999999999998</v>
      </c>
      <c r="G10" s="2">
        <v>18.212475723355212</v>
      </c>
      <c r="H10" s="2">
        <f t="shared" si="1"/>
        <v>0.38752427664478617</v>
      </c>
      <c r="I10" s="2">
        <v>0.69161752774413532</v>
      </c>
      <c r="J10" s="2">
        <v>0.87857762774635562</v>
      </c>
      <c r="K10" s="2">
        <v>89.371268573719917</v>
      </c>
      <c r="L10" s="2">
        <v>51.233726349247263</v>
      </c>
    </row>
    <row r="11" spans="1:12" ht="21" x14ac:dyDescent="0.4">
      <c r="A11" s="1" t="s">
        <v>18</v>
      </c>
      <c r="B11" s="1">
        <v>4</v>
      </c>
      <c r="C11" s="1">
        <v>16.75</v>
      </c>
      <c r="D11" s="1">
        <v>16.739999999999998</v>
      </c>
      <c r="E11" s="1">
        <v>16.829999999999998</v>
      </c>
      <c r="F11" s="2">
        <f t="shared" si="0"/>
        <v>16.77333333333333</v>
      </c>
      <c r="G11" s="2">
        <v>17.184624172347501</v>
      </c>
      <c r="H11" s="2">
        <f t="shared" si="1"/>
        <v>-0.41129083901417118</v>
      </c>
      <c r="I11" s="2">
        <v>0.96972339021678844</v>
      </c>
      <c r="J11" s="2">
        <v>0.88770856916431129</v>
      </c>
      <c r="K11" s="2">
        <v>92.635571401763926</v>
      </c>
      <c r="L11" s="2">
        <v>49.69400418395206</v>
      </c>
    </row>
    <row r="12" spans="1:12" ht="21" x14ac:dyDescent="0.4">
      <c r="A12" s="1" t="s">
        <v>19</v>
      </c>
      <c r="B12" s="1">
        <v>4</v>
      </c>
      <c r="C12" s="1">
        <v>19.149999999999999</v>
      </c>
      <c r="D12" s="1">
        <v>18.739999999999998</v>
      </c>
      <c r="E12" s="1">
        <v>19.13</v>
      </c>
      <c r="F12" s="2">
        <f t="shared" si="0"/>
        <v>19.006666666666664</v>
      </c>
      <c r="G12" s="2">
        <v>19.673339447811301</v>
      </c>
      <c r="H12" s="2">
        <f t="shared" si="1"/>
        <v>-0.66667278114463713</v>
      </c>
      <c r="I12" s="2">
        <v>0.9629298106741131</v>
      </c>
      <c r="J12" s="2">
        <v>0.91999194523037964</v>
      </c>
      <c r="K12" s="2">
        <v>94.254816001615325</v>
      </c>
      <c r="L12" s="2">
        <v>56.213130589447189</v>
      </c>
    </row>
    <row r="13" spans="1:12" ht="21" x14ac:dyDescent="0.4">
      <c r="A13" s="1" t="s">
        <v>20</v>
      </c>
      <c r="B13" s="1">
        <v>4</v>
      </c>
      <c r="C13" s="1">
        <v>20.100000000000001</v>
      </c>
      <c r="D13" s="1">
        <v>20.2</v>
      </c>
      <c r="E13" s="1">
        <v>20.12</v>
      </c>
      <c r="F13" s="2">
        <f t="shared" si="0"/>
        <v>20.14</v>
      </c>
      <c r="G13" s="2">
        <v>20.805216840404931</v>
      </c>
      <c r="H13" s="2">
        <f t="shared" si="1"/>
        <v>-0.66521684040493057</v>
      </c>
      <c r="I13" s="2">
        <v>0.95495118232446818</v>
      </c>
      <c r="J13" s="2">
        <v>0.89651598522559373</v>
      </c>
      <c r="K13" s="2">
        <v>95.427416209127742</v>
      </c>
      <c r="L13" s="2">
        <v>63.111638203668562</v>
      </c>
    </row>
    <row r="14" spans="1:12" ht="21" x14ac:dyDescent="0.4">
      <c r="A14" s="1" t="s">
        <v>21</v>
      </c>
      <c r="B14" s="1">
        <v>4</v>
      </c>
      <c r="C14" s="1">
        <v>17.62</v>
      </c>
      <c r="D14" s="1">
        <v>17.2</v>
      </c>
      <c r="E14" s="1">
        <v>17.149999999999999</v>
      </c>
      <c r="F14" s="2">
        <f t="shared" si="0"/>
        <v>17.323333333333334</v>
      </c>
      <c r="G14" s="2">
        <v>17.70803147306637</v>
      </c>
      <c r="H14" s="2">
        <f t="shared" si="1"/>
        <v>-0.38469813973303602</v>
      </c>
      <c r="I14" s="2">
        <v>0.90186628075177266</v>
      </c>
      <c r="J14" s="2">
        <v>0.86711781328373039</v>
      </c>
      <c r="K14" s="2">
        <v>93.4533435440745</v>
      </c>
      <c r="L14" s="2">
        <v>60.144539460424397</v>
      </c>
    </row>
    <row r="15" spans="1:12" ht="21" x14ac:dyDescent="0.4">
      <c r="A15" s="1" t="s">
        <v>22</v>
      </c>
      <c r="B15" s="1">
        <v>4</v>
      </c>
      <c r="C15" s="1">
        <v>18.23</v>
      </c>
      <c r="D15" s="1">
        <v>17.66</v>
      </c>
      <c r="E15" s="1">
        <v>17.850000000000001</v>
      </c>
      <c r="F15" s="2">
        <f t="shared" si="0"/>
        <v>17.913333333333334</v>
      </c>
      <c r="G15" s="2">
        <v>18.62874554594757</v>
      </c>
      <c r="H15" s="2">
        <f t="shared" si="1"/>
        <v>-0.71541221261423615</v>
      </c>
      <c r="I15" s="2">
        <v>0.97812624977295692</v>
      </c>
      <c r="J15" s="2">
        <v>0.89665339982678383</v>
      </c>
      <c r="K15" s="2">
        <v>92.174275651898299</v>
      </c>
      <c r="L15" s="2">
        <v>60.461289919707347</v>
      </c>
    </row>
    <row r="16" spans="1:12" ht="21" x14ac:dyDescent="0.4">
      <c r="A16" s="1" t="s">
        <v>23</v>
      </c>
      <c r="B16" s="1">
        <v>4</v>
      </c>
      <c r="C16" s="1">
        <v>16.100000000000001</v>
      </c>
      <c r="D16" s="1">
        <v>15.4</v>
      </c>
      <c r="E16" s="1">
        <v>16.82</v>
      </c>
      <c r="F16" s="2">
        <f t="shared" si="0"/>
        <v>16.106666666666666</v>
      </c>
      <c r="G16" s="2">
        <v>17.033993135367311</v>
      </c>
      <c r="H16" s="2">
        <f t="shared" si="1"/>
        <v>-0.92732646870064528</v>
      </c>
      <c r="I16" s="2">
        <v>0.94772806325962611</v>
      </c>
      <c r="J16" s="2">
        <v>0.87954929257873127</v>
      </c>
      <c r="K16" s="2">
        <v>74.010711147663983</v>
      </c>
      <c r="L16" s="2">
        <v>49.524418887621977</v>
      </c>
    </row>
    <row r="17" spans="1:12" ht="21" x14ac:dyDescent="0.4">
      <c r="A17" s="1" t="s">
        <v>24</v>
      </c>
      <c r="B17" s="1">
        <v>4</v>
      </c>
      <c r="C17" s="1">
        <v>17.38</v>
      </c>
      <c r="D17" s="1">
        <v>17.260000000000002</v>
      </c>
      <c r="E17" s="1">
        <v>17.46</v>
      </c>
      <c r="F17" s="2">
        <f t="shared" si="0"/>
        <v>17.366666666666667</v>
      </c>
      <c r="G17" s="2">
        <v>16.487756840605471</v>
      </c>
      <c r="H17" s="2">
        <f t="shared" si="1"/>
        <v>0.8789098260611965</v>
      </c>
      <c r="I17" s="2">
        <v>0.91046635671257958</v>
      </c>
      <c r="J17" s="2">
        <v>0.83275192880942484</v>
      </c>
      <c r="K17" s="2">
        <v>90.29356135134482</v>
      </c>
      <c r="L17" s="2">
        <v>55.482319557245617</v>
      </c>
    </row>
    <row r="18" spans="1:12" ht="21" x14ac:dyDescent="0.4">
      <c r="A18" s="1" t="s">
        <v>25</v>
      </c>
      <c r="B18" s="1">
        <v>4</v>
      </c>
      <c r="C18" s="1">
        <v>23.86</v>
      </c>
      <c r="D18" s="1">
        <v>23.14</v>
      </c>
      <c r="E18" s="1">
        <v>23.71</v>
      </c>
      <c r="F18" s="2">
        <f t="shared" si="0"/>
        <v>23.570000000000004</v>
      </c>
      <c r="G18" s="2">
        <v>24.133580087274989</v>
      </c>
      <c r="H18" s="2">
        <f t="shared" si="1"/>
        <v>-0.56358008727498543</v>
      </c>
      <c r="I18" s="2">
        <v>0.89173150496989484</v>
      </c>
      <c r="J18" s="2">
        <v>0.88200817804639331</v>
      </c>
      <c r="K18" s="2">
        <v>97.143469533402921</v>
      </c>
      <c r="L18" s="2">
        <v>59.233231663035582</v>
      </c>
    </row>
    <row r="19" spans="1:12" ht="21" x14ac:dyDescent="0.4">
      <c r="A19" s="1" t="s">
        <v>26</v>
      </c>
      <c r="B19" s="1">
        <v>4</v>
      </c>
      <c r="C19" s="1">
        <v>16.649999999999999</v>
      </c>
      <c r="D19" s="1">
        <v>15.9</v>
      </c>
      <c r="E19" s="1">
        <v>16.170000000000002</v>
      </c>
      <c r="F19" s="2">
        <f t="shared" si="0"/>
        <v>16.239999999999998</v>
      </c>
      <c r="G19" s="2">
        <v>16.78420258767683</v>
      </c>
      <c r="H19" s="2">
        <f t="shared" si="1"/>
        <v>-0.54420258767683194</v>
      </c>
      <c r="I19" s="2">
        <v>0.94164826935490042</v>
      </c>
      <c r="J19" s="2">
        <v>0.94136625786559769</v>
      </c>
      <c r="K19" s="2">
        <v>92.141927599418693</v>
      </c>
      <c r="L19" s="2">
        <v>62.322503636838377</v>
      </c>
    </row>
    <row r="20" spans="1:12" ht="21" x14ac:dyDescent="0.4">
      <c r="A20" s="1" t="s">
        <v>27</v>
      </c>
      <c r="B20" s="1">
        <v>4</v>
      </c>
      <c r="C20" s="1">
        <v>20.399999999999999</v>
      </c>
      <c r="D20" s="1">
        <v>20.38</v>
      </c>
      <c r="E20" s="1">
        <v>20.14</v>
      </c>
      <c r="F20" s="2">
        <f t="shared" si="0"/>
        <v>20.306666666666668</v>
      </c>
      <c r="G20" s="2">
        <v>19.109732366904229</v>
      </c>
      <c r="H20" s="2">
        <f t="shared" si="1"/>
        <v>1.1969342997624395</v>
      </c>
      <c r="I20" s="2">
        <v>0.89803664071811407</v>
      </c>
      <c r="J20" s="2">
        <v>0.85945085828954204</v>
      </c>
      <c r="K20" s="2">
        <v>95.305180699387535</v>
      </c>
      <c r="L20" s="2">
        <v>58.024181879000402</v>
      </c>
    </row>
    <row r="21" spans="1:12" ht="21" x14ac:dyDescent="0.4">
      <c r="A21" s="1" t="s">
        <v>28</v>
      </c>
      <c r="B21" s="1">
        <v>4</v>
      </c>
      <c r="C21" s="1">
        <v>15.87</v>
      </c>
      <c r="D21" s="1">
        <v>15.2</v>
      </c>
      <c r="E21" s="1">
        <v>16.13</v>
      </c>
      <c r="F21" s="2">
        <f t="shared" si="0"/>
        <v>15.733333333333334</v>
      </c>
      <c r="G21" s="2">
        <v>15.630874920813101</v>
      </c>
      <c r="H21" s="2">
        <f t="shared" si="1"/>
        <v>0.10245841252023347</v>
      </c>
      <c r="I21" s="2">
        <v>0.90661513451270781</v>
      </c>
      <c r="J21" s="2">
        <v>0.8804849525301871</v>
      </c>
      <c r="K21" s="2">
        <v>89.648278515120765</v>
      </c>
      <c r="L21" s="2">
        <v>54.661661153601592</v>
      </c>
    </row>
  </sheetData>
  <conditionalFormatting sqref="H3:H21">
    <cfRule type="cellIs" dxfId="18" priority="3" operator="greaterThan">
      <formula>0.5</formula>
    </cfRule>
    <cfRule type="cellIs" dxfId="17" priority="2" operator="greaterThan">
      <formula>0.5</formula>
    </cfRule>
  </conditionalFormatting>
  <conditionalFormatting sqref="H2:H21">
    <cfRule type="cellIs" dxfId="14" priority="1" operator="lessThan">
      <formula>-0.5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workbookViewId="0">
      <selection activeCell="H2" sqref="H2:H21"/>
    </sheetView>
  </sheetViews>
  <sheetFormatPr defaultRowHeight="14.4" x14ac:dyDescent="0.3"/>
  <cols>
    <col min="1" max="1" width="15.88671875" customWidth="1"/>
    <col min="3" max="3" width="24.33203125" customWidth="1"/>
    <col min="4" max="4" width="27.5546875" customWidth="1"/>
    <col min="5" max="6" width="25.88671875" customWidth="1"/>
    <col min="7" max="8" width="23.44140625" customWidth="1"/>
    <col min="9" max="9" width="16.109375" customWidth="1"/>
    <col min="10" max="10" width="18" customWidth="1"/>
    <col min="11" max="11" width="14.6640625" customWidth="1"/>
    <col min="12" max="12" width="13.6640625" customWidth="1"/>
  </cols>
  <sheetData>
    <row r="1" spans="1:12" ht="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32</v>
      </c>
      <c r="G1" s="1" t="s">
        <v>5</v>
      </c>
      <c r="H1" s="1" t="s">
        <v>34</v>
      </c>
      <c r="I1" s="1" t="s">
        <v>29</v>
      </c>
      <c r="J1" s="1" t="s">
        <v>6</v>
      </c>
      <c r="K1" s="1" t="s">
        <v>7</v>
      </c>
      <c r="L1" s="1" t="s">
        <v>8</v>
      </c>
    </row>
    <row r="2" spans="1:12" ht="21" x14ac:dyDescent="0.4">
      <c r="A2" s="1" t="s">
        <v>9</v>
      </c>
      <c r="B2" s="1">
        <v>5</v>
      </c>
      <c r="C2" s="1">
        <v>22.53</v>
      </c>
      <c r="D2" s="1">
        <v>22.36</v>
      </c>
      <c r="E2" s="1">
        <v>22.72</v>
      </c>
      <c r="F2" s="2">
        <f>AVERAGE(C2:E2)</f>
        <v>22.536666666666665</v>
      </c>
      <c r="G2" s="2">
        <v>22.572562601250759</v>
      </c>
      <c r="H2" s="2">
        <f>F2-G2</f>
        <v>-3.5895934584093681E-2</v>
      </c>
      <c r="I2" s="2">
        <v>0.95578112461145059</v>
      </c>
      <c r="J2" s="2">
        <v>0.93355742148194309</v>
      </c>
      <c r="K2" s="2">
        <v>95.042770677897309</v>
      </c>
      <c r="L2" s="2">
        <v>49.172548212534657</v>
      </c>
    </row>
    <row r="3" spans="1:12" ht="21" x14ac:dyDescent="0.4">
      <c r="A3" s="1" t="s">
        <v>10</v>
      </c>
      <c r="B3" s="1">
        <v>5</v>
      </c>
      <c r="C3" s="1">
        <v>22.28</v>
      </c>
      <c r="D3" s="1">
        <v>21.58</v>
      </c>
      <c r="E3" s="1">
        <v>21.85</v>
      </c>
      <c r="F3" s="2">
        <f t="shared" ref="F3:F21" si="0">AVERAGE(C3:E3)</f>
        <v>21.903333333333336</v>
      </c>
      <c r="G3" s="2">
        <v>21.00989941896594</v>
      </c>
      <c r="H3" s="2">
        <f t="shared" ref="H3:H21" si="1">F3-G3</f>
        <v>0.89343391436739594</v>
      </c>
      <c r="I3" s="2">
        <v>0.91431125540733504</v>
      </c>
      <c r="J3" s="2">
        <v>0.85921915974775964</v>
      </c>
      <c r="K3" s="2">
        <v>91</v>
      </c>
      <c r="L3" s="2">
        <v>50.199836919823163</v>
      </c>
    </row>
    <row r="4" spans="1:12" ht="21" x14ac:dyDescent="0.4">
      <c r="A4" s="1" t="s">
        <v>11</v>
      </c>
      <c r="B4" s="1">
        <v>5</v>
      </c>
      <c r="C4" s="1">
        <v>20.94</v>
      </c>
      <c r="D4" s="1">
        <v>20.04</v>
      </c>
      <c r="E4" s="1">
        <v>20.58</v>
      </c>
      <c r="F4" s="2">
        <f t="shared" si="0"/>
        <v>20.52</v>
      </c>
      <c r="G4" s="2">
        <v>20.13767802179671</v>
      </c>
      <c r="H4" s="2">
        <f t="shared" si="1"/>
        <v>0.38232197820329006</v>
      </c>
      <c r="I4" s="2">
        <v>0.84229816500218235</v>
      </c>
      <c r="J4" s="2">
        <v>0.83324835098426486</v>
      </c>
      <c r="K4" s="2">
        <v>81.070928749341959</v>
      </c>
      <c r="L4" s="2">
        <v>49.260584641942927</v>
      </c>
    </row>
    <row r="5" spans="1:12" ht="21" x14ac:dyDescent="0.4">
      <c r="A5" s="1" t="s">
        <v>12</v>
      </c>
      <c r="B5" s="1">
        <v>5</v>
      </c>
      <c r="C5" s="1">
        <v>21.91</v>
      </c>
      <c r="D5" s="1">
        <v>22.3</v>
      </c>
      <c r="E5" s="1">
        <v>22.58</v>
      </c>
      <c r="F5" s="2">
        <f t="shared" si="0"/>
        <v>22.263333333333332</v>
      </c>
      <c r="G5" s="2">
        <v>22.210576778774449</v>
      </c>
      <c r="H5" s="2">
        <f t="shared" si="1"/>
        <v>5.275655455888284E-2</v>
      </c>
      <c r="I5" s="2">
        <v>0.8780169269710365</v>
      </c>
      <c r="J5" s="2">
        <v>0.87897766950766831</v>
      </c>
      <c r="K5" s="2">
        <v>94.91399008955662</v>
      </c>
      <c r="L5" s="2">
        <v>51.686001869533293</v>
      </c>
    </row>
    <row r="6" spans="1:12" ht="21" x14ac:dyDescent="0.4">
      <c r="A6" s="1" t="s">
        <v>13</v>
      </c>
      <c r="B6" s="1">
        <v>5</v>
      </c>
      <c r="C6" s="1">
        <v>23.95</v>
      </c>
      <c r="D6" s="1">
        <v>23.8</v>
      </c>
      <c r="E6" s="1">
        <v>23.76</v>
      </c>
      <c r="F6" s="2">
        <f t="shared" si="0"/>
        <v>23.83666666666667</v>
      </c>
      <c r="G6" s="2">
        <v>22.61375440686486</v>
      </c>
      <c r="H6" s="2">
        <f t="shared" si="1"/>
        <v>1.2229122598018094</v>
      </c>
      <c r="I6" s="2">
        <v>0.74110805387845957</v>
      </c>
      <c r="J6" s="2">
        <v>0.9380086727847734</v>
      </c>
      <c r="K6" s="2">
        <v>93.094615546815902</v>
      </c>
      <c r="L6" s="2">
        <v>49.19599837720709</v>
      </c>
    </row>
    <row r="7" spans="1:12" ht="21" x14ac:dyDescent="0.4">
      <c r="A7" s="1" t="s">
        <v>14</v>
      </c>
      <c r="B7" s="1">
        <v>5</v>
      </c>
      <c r="C7" s="1">
        <v>19.190000000000001</v>
      </c>
      <c r="D7" s="1">
        <v>19.12</v>
      </c>
      <c r="E7" s="1">
        <v>19.850000000000001</v>
      </c>
      <c r="F7" s="2">
        <f t="shared" si="0"/>
        <v>19.386666666666667</v>
      </c>
      <c r="G7" s="2">
        <v>19.717360934719789</v>
      </c>
      <c r="H7" s="2">
        <f t="shared" si="1"/>
        <v>-0.33069426805312219</v>
      </c>
      <c r="I7" s="2">
        <v>0.99670826152020997</v>
      </c>
      <c r="J7" s="2">
        <v>0.91887501865265453</v>
      </c>
      <c r="K7" s="2">
        <v>90.11566121183121</v>
      </c>
      <c r="L7" s="2">
        <v>52.541776316986791</v>
      </c>
    </row>
    <row r="8" spans="1:12" ht="21" x14ac:dyDescent="0.4">
      <c r="A8" s="1" t="s">
        <v>15</v>
      </c>
      <c r="B8" s="1">
        <v>5</v>
      </c>
      <c r="C8" s="1">
        <v>20.91</v>
      </c>
      <c r="D8" s="1">
        <v>20.420000000000002</v>
      </c>
      <c r="E8" s="1">
        <v>22.54</v>
      </c>
      <c r="F8" s="2">
        <f t="shared" si="0"/>
        <v>21.29</v>
      </c>
      <c r="G8" s="2">
        <v>20.83196221311384</v>
      </c>
      <c r="H8" s="2">
        <f t="shared" si="1"/>
        <v>0.45803778688615893</v>
      </c>
      <c r="I8" s="2">
        <v>0.88764894989124743</v>
      </c>
      <c r="J8" s="2">
        <v>0.8806691949340455</v>
      </c>
      <c r="K8" s="2">
        <v>93.407362004425281</v>
      </c>
      <c r="L8" s="2">
        <v>56.640621881132937</v>
      </c>
    </row>
    <row r="9" spans="1:12" ht="21" x14ac:dyDescent="0.4">
      <c r="A9" s="1" t="s">
        <v>16</v>
      </c>
      <c r="B9" s="1">
        <v>5</v>
      </c>
      <c r="C9" s="1">
        <v>22.88</v>
      </c>
      <c r="D9" s="1">
        <v>22.38</v>
      </c>
      <c r="E9" s="1">
        <v>22.68</v>
      </c>
      <c r="F9" s="2">
        <f t="shared" si="0"/>
        <v>22.646666666666665</v>
      </c>
      <c r="G9" s="2">
        <v>23.107492057469798</v>
      </c>
      <c r="H9" s="2">
        <f t="shared" si="1"/>
        <v>-0.46082539080313367</v>
      </c>
      <c r="I9" s="2">
        <v>0.94942352931040519</v>
      </c>
      <c r="J9" s="2">
        <v>0.87578796079660715</v>
      </c>
      <c r="K9" s="2">
        <v>92.573827814105755</v>
      </c>
      <c r="L9" s="2">
        <v>53.429608246778358</v>
      </c>
    </row>
    <row r="10" spans="1:12" ht="21" x14ac:dyDescent="0.4">
      <c r="A10" s="1" t="s">
        <v>17</v>
      </c>
      <c r="B10" s="1">
        <v>5</v>
      </c>
      <c r="C10" s="1">
        <v>21.7</v>
      </c>
      <c r="D10" s="1">
        <v>21.44</v>
      </c>
      <c r="E10" s="1">
        <v>21.08</v>
      </c>
      <c r="F10" s="2">
        <f t="shared" si="0"/>
        <v>21.406666666666666</v>
      </c>
      <c r="G10" s="2">
        <v>22.08379463972701</v>
      </c>
      <c r="H10" s="2">
        <f t="shared" si="1"/>
        <v>-0.67712797306034389</v>
      </c>
      <c r="I10" s="2">
        <v>0.95864602562241397</v>
      </c>
      <c r="J10" s="2">
        <v>0.96604207672046749</v>
      </c>
      <c r="K10" s="2">
        <v>95.446661993744613</v>
      </c>
      <c r="L10" s="2">
        <v>53.410850430424617</v>
      </c>
    </row>
    <row r="11" spans="1:12" ht="21" x14ac:dyDescent="0.4">
      <c r="A11" s="1" t="s">
        <v>18</v>
      </c>
      <c r="B11" s="1">
        <v>5</v>
      </c>
      <c r="C11" s="1">
        <v>22.96</v>
      </c>
      <c r="D11" s="1">
        <v>23.16</v>
      </c>
      <c r="E11" s="1">
        <v>23.36</v>
      </c>
      <c r="F11" s="2">
        <f t="shared" si="0"/>
        <v>23.16</v>
      </c>
      <c r="G11" s="2">
        <v>23.23724680973703</v>
      </c>
      <c r="H11" s="2">
        <f t="shared" si="1"/>
        <v>-7.724680973703002E-2</v>
      </c>
      <c r="I11" s="2">
        <v>0.91517753657735645</v>
      </c>
      <c r="J11" s="2">
        <v>0.85140589355541485</v>
      </c>
      <c r="K11" s="2">
        <v>94.241244126120122</v>
      </c>
      <c r="L11" s="2">
        <v>48.689534197399126</v>
      </c>
    </row>
    <row r="12" spans="1:12" ht="21" x14ac:dyDescent="0.4">
      <c r="A12" s="1" t="s">
        <v>19</v>
      </c>
      <c r="B12" s="1">
        <v>5</v>
      </c>
      <c r="C12" s="1">
        <v>19.170000000000002</v>
      </c>
      <c r="D12" s="1">
        <v>18.78</v>
      </c>
      <c r="E12" s="1">
        <v>18.86</v>
      </c>
      <c r="F12" s="2">
        <f t="shared" si="0"/>
        <v>18.936666666666667</v>
      </c>
      <c r="G12" s="2">
        <v>18.704170189902811</v>
      </c>
      <c r="H12" s="2">
        <f t="shared" si="1"/>
        <v>0.23249647676385621</v>
      </c>
      <c r="I12" s="2">
        <v>0.95791852695500235</v>
      </c>
      <c r="J12" s="2">
        <v>0.9795775281160356</v>
      </c>
      <c r="K12" s="2">
        <v>82.643324985222819</v>
      </c>
      <c r="L12" s="2">
        <v>52.877773100131407</v>
      </c>
    </row>
    <row r="13" spans="1:12" ht="21" x14ac:dyDescent="0.4">
      <c r="A13" s="1" t="s">
        <v>20</v>
      </c>
      <c r="B13" s="1">
        <v>5</v>
      </c>
      <c r="C13" s="1">
        <v>21.53</v>
      </c>
      <c r="D13" s="1">
        <v>22.36</v>
      </c>
      <c r="E13" s="1">
        <v>23.17</v>
      </c>
      <c r="F13" s="2">
        <f t="shared" si="0"/>
        <v>22.353333333333335</v>
      </c>
      <c r="G13" s="2">
        <v>22.319539495463971</v>
      </c>
      <c r="H13" s="2">
        <f t="shared" si="1"/>
        <v>3.3793837869364296E-2</v>
      </c>
      <c r="I13" s="2">
        <v>0.79788828232233544</v>
      </c>
      <c r="J13" s="2">
        <v>0.81294108955892108</v>
      </c>
      <c r="K13" s="2">
        <v>94.365599453353454</v>
      </c>
      <c r="L13" s="2">
        <v>57.702042097606373</v>
      </c>
    </row>
    <row r="14" spans="1:12" ht="21" x14ac:dyDescent="0.4">
      <c r="A14" s="1" t="s">
        <v>21</v>
      </c>
      <c r="B14" s="1">
        <v>5</v>
      </c>
      <c r="C14" s="1">
        <v>21.15</v>
      </c>
      <c r="D14" s="1">
        <v>21.2</v>
      </c>
      <c r="E14" s="1">
        <v>21.22</v>
      </c>
      <c r="F14" s="2">
        <f t="shared" si="0"/>
        <v>21.189999999999998</v>
      </c>
      <c r="G14" s="2">
        <v>22.52070199739525</v>
      </c>
      <c r="H14" s="2">
        <f t="shared" si="1"/>
        <v>-1.3307019973952521</v>
      </c>
      <c r="I14" s="2">
        <v>0.98040854888048934</v>
      </c>
      <c r="J14" s="2">
        <v>0.94665834433196405</v>
      </c>
      <c r="K14" s="2">
        <v>89.959075347022917</v>
      </c>
      <c r="L14" s="2">
        <v>54.259410984405129</v>
      </c>
    </row>
    <row r="15" spans="1:12" ht="21" x14ac:dyDescent="0.4">
      <c r="A15" s="1" t="s">
        <v>22</v>
      </c>
      <c r="B15" s="1">
        <v>5</v>
      </c>
      <c r="C15" s="1">
        <v>17.72</v>
      </c>
      <c r="D15" s="1">
        <v>17.36</v>
      </c>
      <c r="E15" s="1">
        <v>17.52</v>
      </c>
      <c r="F15" s="2">
        <f t="shared" si="0"/>
        <v>17.533333333333331</v>
      </c>
      <c r="G15" s="2">
        <v>17.660352976212899</v>
      </c>
      <c r="H15" s="2">
        <f t="shared" si="1"/>
        <v>-0.12701964287956713</v>
      </c>
      <c r="I15" s="2">
        <v>0.95408816561639276</v>
      </c>
      <c r="J15" s="2">
        <v>0.8746594264202372</v>
      </c>
      <c r="K15" s="2">
        <v>91.529120128889659</v>
      </c>
      <c r="L15" s="2">
        <v>56.383392222169682</v>
      </c>
    </row>
    <row r="16" spans="1:12" ht="21" x14ac:dyDescent="0.4">
      <c r="A16" s="1" t="s">
        <v>23</v>
      </c>
      <c r="B16" s="1">
        <v>5</v>
      </c>
      <c r="C16" s="1">
        <v>20.88</v>
      </c>
      <c r="D16" s="1">
        <v>20.28</v>
      </c>
      <c r="E16" s="1">
        <v>20.47</v>
      </c>
      <c r="F16" s="2">
        <f t="shared" si="0"/>
        <v>20.543333333333333</v>
      </c>
      <c r="G16" s="2">
        <v>20.32012956807392</v>
      </c>
      <c r="H16" s="2">
        <f t="shared" si="1"/>
        <v>0.22320376525941299</v>
      </c>
      <c r="I16" s="2">
        <v>0.93706514599666191</v>
      </c>
      <c r="J16" s="2">
        <v>0.87783183338492632</v>
      </c>
      <c r="K16" s="2">
        <v>86.867335125190323</v>
      </c>
      <c r="L16" s="2">
        <v>51.762222105612977</v>
      </c>
    </row>
    <row r="17" spans="1:12" ht="21" x14ac:dyDescent="0.4">
      <c r="A17" s="1" t="s">
        <v>24</v>
      </c>
      <c r="B17" s="1">
        <v>5</v>
      </c>
      <c r="C17" s="1">
        <v>20.18</v>
      </c>
      <c r="D17" s="1">
        <v>20.399999999999999</v>
      </c>
      <c r="E17" s="1">
        <v>20.38</v>
      </c>
      <c r="F17" s="2">
        <f t="shared" si="0"/>
        <v>20.319999999999997</v>
      </c>
      <c r="G17" s="2">
        <v>20.402948033964769</v>
      </c>
      <c r="H17" s="2">
        <f t="shared" si="1"/>
        <v>-8.294803396477235E-2</v>
      </c>
      <c r="I17" s="2">
        <v>0.93852596266681199</v>
      </c>
      <c r="J17" s="2">
        <v>0.91738756668315791</v>
      </c>
      <c r="K17" s="2">
        <v>94.221008380240619</v>
      </c>
      <c r="L17" s="2">
        <v>52.013573386089263</v>
      </c>
    </row>
    <row r="18" spans="1:12" ht="21" x14ac:dyDescent="0.4">
      <c r="A18" s="1" t="s">
        <v>25</v>
      </c>
      <c r="B18" s="1">
        <v>5</v>
      </c>
      <c r="C18" s="1">
        <v>20.12</v>
      </c>
      <c r="D18" s="1">
        <v>20.62</v>
      </c>
      <c r="E18" s="1">
        <v>21.46</v>
      </c>
      <c r="F18" s="2">
        <f t="shared" si="0"/>
        <v>20.733333333333334</v>
      </c>
      <c r="G18" s="2">
        <v>21.67332873253908</v>
      </c>
      <c r="H18" s="2">
        <f t="shared" si="1"/>
        <v>-0.93999539920574549</v>
      </c>
      <c r="I18" s="2">
        <v>0.93213846664713929</v>
      </c>
      <c r="J18" s="2">
        <v>0.94973637892727403</v>
      </c>
      <c r="K18" s="2">
        <v>91.549679747445879</v>
      </c>
      <c r="L18" s="2">
        <v>59.590966556939073</v>
      </c>
    </row>
    <row r="19" spans="1:12" ht="21" x14ac:dyDescent="0.4">
      <c r="A19" s="1" t="s">
        <v>26</v>
      </c>
      <c r="B19" s="1">
        <v>5</v>
      </c>
      <c r="C19" s="1">
        <v>20.99</v>
      </c>
      <c r="D19" s="1">
        <v>20.76</v>
      </c>
      <c r="E19" s="1">
        <v>20.65</v>
      </c>
      <c r="F19" s="2">
        <f t="shared" si="0"/>
        <v>20.8</v>
      </c>
      <c r="G19" s="2">
        <v>20.923020924635019</v>
      </c>
      <c r="H19" s="2">
        <f t="shared" si="1"/>
        <v>-0.12302092463501779</v>
      </c>
      <c r="I19" s="2">
        <v>1</v>
      </c>
      <c r="J19" s="2">
        <v>0.9423564591269582</v>
      </c>
      <c r="K19" s="2">
        <v>93.164293107877313</v>
      </c>
      <c r="L19" s="2">
        <v>58.082468281430216</v>
      </c>
    </row>
    <row r="20" spans="1:12" ht="21" x14ac:dyDescent="0.4">
      <c r="A20" s="1" t="s">
        <v>27</v>
      </c>
      <c r="B20" s="1">
        <v>5</v>
      </c>
      <c r="C20" s="1">
        <v>19.12</v>
      </c>
      <c r="D20" s="1">
        <v>19.22</v>
      </c>
      <c r="E20" s="1">
        <v>19.899999999999999</v>
      </c>
      <c r="F20" s="2">
        <f t="shared" si="0"/>
        <v>19.413333333333334</v>
      </c>
      <c r="G20" s="2">
        <v>19.816754173666681</v>
      </c>
      <c r="H20" s="2">
        <f t="shared" si="1"/>
        <v>-0.40342084033334658</v>
      </c>
      <c r="I20" s="2">
        <v>0.97448156617286297</v>
      </c>
      <c r="J20" s="2">
        <v>0.91004787693364109</v>
      </c>
      <c r="K20" s="2">
        <v>93.338067341174721</v>
      </c>
      <c r="L20" s="2">
        <v>55.978546026934083</v>
      </c>
    </row>
    <row r="21" spans="1:12" ht="21" x14ac:dyDescent="0.4">
      <c r="A21" s="1" t="s">
        <v>28</v>
      </c>
      <c r="B21" s="1">
        <v>5</v>
      </c>
      <c r="C21" s="1">
        <v>20.46</v>
      </c>
      <c r="D21" s="1">
        <v>20.48</v>
      </c>
      <c r="E21" s="1">
        <v>20.27</v>
      </c>
      <c r="F21" s="2">
        <f t="shared" si="0"/>
        <v>20.403333333333332</v>
      </c>
      <c r="G21" s="2">
        <v>20.149919172369319</v>
      </c>
      <c r="H21" s="2">
        <f t="shared" si="1"/>
        <v>0.25341416096401304</v>
      </c>
      <c r="I21" s="2">
        <v>0.91050742926642803</v>
      </c>
      <c r="J21" s="2">
        <v>0.85934101645521199</v>
      </c>
      <c r="K21" s="2">
        <v>93.197609571201014</v>
      </c>
      <c r="L21" s="2">
        <v>59.001658204694273</v>
      </c>
    </row>
  </sheetData>
  <conditionalFormatting sqref="H2:H21">
    <cfRule type="cellIs" dxfId="3" priority="2" operator="greaterThan">
      <formula>0.5</formula>
    </cfRule>
    <cfRule type="cellIs" dxfId="4" priority="1" operator="lessThan">
      <formula>-0.5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2"/>
  <sheetViews>
    <sheetView tabSelected="1" topLeftCell="D1" zoomScale="95" workbookViewId="0">
      <selection activeCell="H1" sqref="H1"/>
    </sheetView>
  </sheetViews>
  <sheetFormatPr defaultRowHeight="14.4" x14ac:dyDescent="0.3"/>
  <cols>
    <col min="1" max="1" width="19.6640625" customWidth="1"/>
    <col min="2" max="2" width="10.5546875" customWidth="1"/>
    <col min="3" max="3" width="26.33203125" customWidth="1"/>
    <col min="4" max="4" width="28.44140625" customWidth="1"/>
    <col min="5" max="5" width="26.88671875" customWidth="1"/>
    <col min="6" max="6" width="20.109375" customWidth="1"/>
    <col min="7" max="8" width="23.33203125" customWidth="1"/>
    <col min="9" max="9" width="17.5546875" customWidth="1"/>
    <col min="10" max="10" width="16.5546875" customWidth="1"/>
    <col min="11" max="11" width="14.44140625" customWidth="1"/>
    <col min="12" max="12" width="14.33203125" customWidth="1"/>
  </cols>
  <sheetData>
    <row r="1" spans="1:12" ht="2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</v>
      </c>
      <c r="G1" s="1" t="s">
        <v>5</v>
      </c>
      <c r="H1" s="1" t="s">
        <v>33</v>
      </c>
      <c r="I1" s="1" t="s">
        <v>29</v>
      </c>
      <c r="J1" s="1" t="s">
        <v>6</v>
      </c>
      <c r="K1" s="1" t="s">
        <v>7</v>
      </c>
      <c r="L1" s="1" t="s">
        <v>8</v>
      </c>
    </row>
    <row r="2" spans="1:12" ht="21" x14ac:dyDescent="0.4">
      <c r="A2" s="1" t="s">
        <v>9</v>
      </c>
      <c r="B2" s="1">
        <v>6</v>
      </c>
      <c r="C2" s="1">
        <v>23.4</v>
      </c>
      <c r="D2" s="1">
        <v>23.04</v>
      </c>
      <c r="E2" s="1">
        <v>23.31</v>
      </c>
      <c r="F2" s="3">
        <f>AVERAGE(C2:E2)</f>
        <v>23.25</v>
      </c>
      <c r="G2" s="1">
        <v>20.2860449</v>
      </c>
      <c r="H2" s="2">
        <f>F2-G2</f>
        <v>2.9639550999999997</v>
      </c>
      <c r="I2" s="1">
        <v>0.82416159700000002</v>
      </c>
      <c r="J2" s="1">
        <v>0.69808773000000002</v>
      </c>
      <c r="K2" s="1">
        <v>94.283380910000005</v>
      </c>
      <c r="L2" s="1">
        <v>50.094762019999997</v>
      </c>
    </row>
    <row r="3" spans="1:12" ht="21" x14ac:dyDescent="0.4">
      <c r="A3" s="1" t="s">
        <v>10</v>
      </c>
      <c r="B3" s="1">
        <v>6</v>
      </c>
      <c r="C3" s="1">
        <v>21.18</v>
      </c>
      <c r="D3" s="1">
        <v>20.98</v>
      </c>
      <c r="E3" s="1">
        <v>21.37</v>
      </c>
      <c r="F3" s="3">
        <f t="shared" ref="F3:F21" si="0">AVERAGE(C3:E3)</f>
        <v>21.176666666666666</v>
      </c>
      <c r="G3" s="1">
        <v>20.459010889999998</v>
      </c>
      <c r="H3" s="2">
        <f t="shared" ref="H3:H21" si="1">F3-G3</f>
        <v>0.71765577666666758</v>
      </c>
      <c r="I3" s="1">
        <v>0.95263429399999999</v>
      </c>
      <c r="J3" s="1">
        <v>0.84361923400000005</v>
      </c>
      <c r="K3" s="1">
        <v>96.559285209999999</v>
      </c>
      <c r="L3" s="1">
        <v>53.983678009999998</v>
      </c>
    </row>
    <row r="4" spans="1:12" ht="21" x14ac:dyDescent="0.4">
      <c r="A4" s="1" t="s">
        <v>11</v>
      </c>
      <c r="B4" s="1">
        <v>6</v>
      </c>
      <c r="C4" s="1">
        <v>23.95</v>
      </c>
      <c r="D4" s="1">
        <v>23.86</v>
      </c>
      <c r="E4" s="1">
        <v>23.64</v>
      </c>
      <c r="F4" s="3">
        <f t="shared" si="0"/>
        <v>23.816666666666666</v>
      </c>
      <c r="G4" s="1">
        <v>23.010214349999998</v>
      </c>
      <c r="H4" s="2">
        <f t="shared" si="1"/>
        <v>0.80645231666666817</v>
      </c>
      <c r="I4" s="1">
        <v>0.93544584799999997</v>
      </c>
      <c r="J4" s="1">
        <v>0.81470775699999998</v>
      </c>
      <c r="K4" s="1">
        <v>97.853535230000006</v>
      </c>
      <c r="L4" s="1">
        <v>54.434775080000001</v>
      </c>
    </row>
    <row r="5" spans="1:12" ht="21" x14ac:dyDescent="0.4">
      <c r="A5" s="1" t="s">
        <v>12</v>
      </c>
      <c r="B5" s="1">
        <v>6</v>
      </c>
      <c r="C5" s="1">
        <v>22.2</v>
      </c>
      <c r="D5" s="1">
        <v>21.76</v>
      </c>
      <c r="E5" s="1">
        <v>21.59</v>
      </c>
      <c r="F5" s="3">
        <f t="shared" si="0"/>
        <v>21.849999999999998</v>
      </c>
      <c r="G5" s="1">
        <v>21.324804310000001</v>
      </c>
      <c r="H5" s="2">
        <f t="shared" si="1"/>
        <v>0.52519568999999677</v>
      </c>
      <c r="I5" s="1">
        <v>0.92785987400000003</v>
      </c>
      <c r="J5" s="1">
        <v>0.836582469</v>
      </c>
      <c r="K5" s="1">
        <v>96.751312209999995</v>
      </c>
      <c r="L5" s="1">
        <v>54.406134729999998</v>
      </c>
    </row>
    <row r="6" spans="1:12" ht="21" x14ac:dyDescent="0.4">
      <c r="A6" s="1" t="s">
        <v>13</v>
      </c>
      <c r="B6" s="1">
        <v>6</v>
      </c>
      <c r="C6" s="1">
        <v>20.45</v>
      </c>
      <c r="D6" s="1">
        <v>19.899999999999999</v>
      </c>
      <c r="E6" s="1">
        <v>20.399999999999999</v>
      </c>
      <c r="F6" s="3">
        <f t="shared" si="0"/>
        <v>20.249999999999996</v>
      </c>
      <c r="G6" s="1">
        <v>19.549633310000001</v>
      </c>
      <c r="H6" s="2">
        <f t="shared" si="1"/>
        <v>0.70036668999999563</v>
      </c>
      <c r="I6" s="1">
        <v>0.81375478599999995</v>
      </c>
      <c r="J6" s="1">
        <v>0.97583407799999999</v>
      </c>
      <c r="K6" s="1">
        <v>91.602384310000005</v>
      </c>
      <c r="L6" s="1">
        <v>45.410714740000003</v>
      </c>
    </row>
    <row r="7" spans="1:12" ht="21" x14ac:dyDescent="0.4">
      <c r="A7" s="1" t="s">
        <v>14</v>
      </c>
      <c r="B7" s="1">
        <v>6</v>
      </c>
      <c r="C7" s="1">
        <v>22.23</v>
      </c>
      <c r="D7" s="1">
        <v>21.98</v>
      </c>
      <c r="E7" s="1">
        <v>22.35</v>
      </c>
      <c r="F7" s="3">
        <f t="shared" si="0"/>
        <v>22.186666666666667</v>
      </c>
      <c r="G7" s="1">
        <v>21.381426189999999</v>
      </c>
      <c r="H7" s="2">
        <f t="shared" si="1"/>
        <v>0.80524047666666831</v>
      </c>
      <c r="I7" s="1">
        <v>0.808872272</v>
      </c>
      <c r="J7" s="1">
        <v>0.84264150500000001</v>
      </c>
      <c r="K7" s="1">
        <v>94.212338520000003</v>
      </c>
      <c r="L7" s="1">
        <v>54.232816919999998</v>
      </c>
    </row>
    <row r="8" spans="1:12" ht="21" x14ac:dyDescent="0.4">
      <c r="A8" s="1" t="s">
        <v>15</v>
      </c>
      <c r="B8" s="1">
        <v>6</v>
      </c>
      <c r="C8" s="1">
        <v>27.54</v>
      </c>
      <c r="D8" s="1">
        <v>27.24</v>
      </c>
      <c r="E8" s="1">
        <v>27.53</v>
      </c>
      <c r="F8" s="3">
        <f t="shared" si="0"/>
        <v>27.436666666666667</v>
      </c>
      <c r="G8" s="1">
        <v>26.286687919999999</v>
      </c>
      <c r="H8" s="2">
        <f t="shared" si="1"/>
        <v>1.1499787466666689</v>
      </c>
      <c r="I8" s="1">
        <v>0.913327734</v>
      </c>
      <c r="J8" s="1">
        <v>0.78772273299999995</v>
      </c>
      <c r="K8" s="1">
        <v>98.171881369999994</v>
      </c>
      <c r="L8" s="1">
        <v>53.150041569999999</v>
      </c>
    </row>
    <row r="9" spans="1:12" ht="21" x14ac:dyDescent="0.4">
      <c r="A9" s="1" t="s">
        <v>16</v>
      </c>
      <c r="B9" s="1">
        <v>6</v>
      </c>
      <c r="C9" s="1">
        <v>22.4</v>
      </c>
      <c r="D9" s="1">
        <v>22.26</v>
      </c>
      <c r="E9" s="1">
        <v>22.48</v>
      </c>
      <c r="F9" s="3">
        <f t="shared" si="0"/>
        <v>22.38</v>
      </c>
      <c r="G9" s="1">
        <v>23.233138749999998</v>
      </c>
      <c r="H9" s="2">
        <f t="shared" si="1"/>
        <v>-0.85313874999999939</v>
      </c>
      <c r="I9" s="1">
        <v>0.88651584500000002</v>
      </c>
      <c r="J9" s="1">
        <v>0.86830382699999997</v>
      </c>
      <c r="K9" s="1">
        <v>97.230023970000005</v>
      </c>
      <c r="L9" s="1">
        <v>57.851259140000003</v>
      </c>
    </row>
    <row r="10" spans="1:12" ht="21" x14ac:dyDescent="0.4">
      <c r="A10" s="1" t="s">
        <v>17</v>
      </c>
      <c r="B10" s="1">
        <v>6</v>
      </c>
      <c r="C10" s="1">
        <v>20.57</v>
      </c>
      <c r="D10" s="1">
        <v>20.3</v>
      </c>
      <c r="E10" s="1">
        <v>20.89</v>
      </c>
      <c r="F10" s="3">
        <f t="shared" si="0"/>
        <v>20.58666666666667</v>
      </c>
      <c r="G10" s="1">
        <v>21.031468409999999</v>
      </c>
      <c r="H10" s="2">
        <f t="shared" si="1"/>
        <v>-0.44480174333332911</v>
      </c>
      <c r="I10" s="1">
        <v>0.97343241000000003</v>
      </c>
      <c r="J10" s="1">
        <v>0.91333309699999998</v>
      </c>
      <c r="K10" s="1">
        <v>86.888385880000001</v>
      </c>
      <c r="L10" s="1">
        <v>54.06574011</v>
      </c>
    </row>
    <row r="11" spans="1:12" ht="21" x14ac:dyDescent="0.4">
      <c r="A11" s="1" t="s">
        <v>18</v>
      </c>
      <c r="B11" s="1">
        <v>6</v>
      </c>
      <c r="C11" s="1">
        <v>22.23</v>
      </c>
      <c r="D11" s="1">
        <v>22.2</v>
      </c>
      <c r="E11" s="1">
        <v>22.57</v>
      </c>
      <c r="F11" s="3">
        <f t="shared" si="0"/>
        <v>22.333333333333332</v>
      </c>
      <c r="G11" s="1">
        <v>20.868585840000001</v>
      </c>
      <c r="H11" s="2">
        <f t="shared" si="1"/>
        <v>1.4647474933333307</v>
      </c>
      <c r="I11" s="1">
        <v>0.93548933000000001</v>
      </c>
      <c r="J11" s="1">
        <v>0.93290950800000005</v>
      </c>
      <c r="K11" s="1">
        <v>96.081974470000006</v>
      </c>
      <c r="L11" s="1">
        <v>51.357604639999998</v>
      </c>
    </row>
    <row r="12" spans="1:12" ht="21" x14ac:dyDescent="0.4">
      <c r="A12" s="1" t="s">
        <v>19</v>
      </c>
      <c r="B12" s="1">
        <v>6</v>
      </c>
      <c r="C12" s="1">
        <v>26.82</v>
      </c>
      <c r="D12" s="1">
        <v>26.78</v>
      </c>
      <c r="E12" s="1">
        <v>26.52</v>
      </c>
      <c r="F12" s="3">
        <f t="shared" si="0"/>
        <v>26.706666666666667</v>
      </c>
      <c r="G12" s="1">
        <v>25.1936748</v>
      </c>
      <c r="H12" s="2">
        <f t="shared" si="1"/>
        <v>1.5129918666666669</v>
      </c>
      <c r="I12" s="1">
        <v>0.95104708000000004</v>
      </c>
      <c r="J12" s="1">
        <v>0.83762360300000005</v>
      </c>
      <c r="K12" s="1">
        <v>94.398622169999996</v>
      </c>
      <c r="L12" s="1">
        <v>59.149125060000003</v>
      </c>
    </row>
    <row r="13" spans="1:12" ht="21" x14ac:dyDescent="0.4">
      <c r="A13" s="1" t="s">
        <v>20</v>
      </c>
      <c r="B13" s="1">
        <v>6</v>
      </c>
      <c r="C13" s="1">
        <v>22.42</v>
      </c>
      <c r="D13" s="1">
        <v>22.28</v>
      </c>
      <c r="E13" s="1">
        <v>22.31</v>
      </c>
      <c r="F13" s="3">
        <f t="shared" si="0"/>
        <v>22.33666666666667</v>
      </c>
      <c r="G13" s="1">
        <v>22.257442510000001</v>
      </c>
      <c r="H13" s="2">
        <f t="shared" si="1"/>
        <v>7.9224156666668932E-2</v>
      </c>
      <c r="I13" s="1">
        <v>0.90245525000000004</v>
      </c>
      <c r="J13" s="1">
        <v>0.84438961099999998</v>
      </c>
      <c r="K13" s="1">
        <v>95.942443530000006</v>
      </c>
      <c r="L13" s="1">
        <v>57.327574579999997</v>
      </c>
    </row>
    <row r="14" spans="1:12" ht="21" x14ac:dyDescent="0.4">
      <c r="A14" s="1" t="s">
        <v>21</v>
      </c>
      <c r="B14" s="1">
        <v>6</v>
      </c>
      <c r="C14" s="1">
        <v>21.5</v>
      </c>
      <c r="D14" s="1">
        <v>20.72</v>
      </c>
      <c r="E14" s="1">
        <v>21.36</v>
      </c>
      <c r="F14" s="3">
        <f t="shared" si="0"/>
        <v>21.193333333333332</v>
      </c>
      <c r="G14" s="1">
        <v>22.460577839999999</v>
      </c>
      <c r="H14" s="2">
        <f t="shared" si="1"/>
        <v>-1.2672445066666675</v>
      </c>
      <c r="I14" s="1">
        <v>0.96268193199999996</v>
      </c>
      <c r="J14" s="1">
        <v>0.96994490700000002</v>
      </c>
      <c r="K14" s="1">
        <v>97.400812740000006</v>
      </c>
      <c r="L14" s="1">
        <v>63.64850629</v>
      </c>
    </row>
    <row r="15" spans="1:12" ht="21" x14ac:dyDescent="0.4">
      <c r="A15" s="1" t="s">
        <v>22</v>
      </c>
      <c r="B15" s="1">
        <v>6</v>
      </c>
      <c r="C15" s="1">
        <v>22.05</v>
      </c>
      <c r="D15" s="1">
        <v>21.88</v>
      </c>
      <c r="E15" s="1">
        <v>22.02</v>
      </c>
      <c r="F15" s="3">
        <f t="shared" si="0"/>
        <v>21.983333333333334</v>
      </c>
      <c r="G15" s="1">
        <v>21.39481468</v>
      </c>
      <c r="H15" s="2">
        <f t="shared" si="1"/>
        <v>0.58851865333333464</v>
      </c>
      <c r="I15" s="1">
        <v>0.804785525</v>
      </c>
      <c r="J15" s="1">
        <v>0.87521082100000003</v>
      </c>
      <c r="K15" s="1">
        <v>93.517786099999995</v>
      </c>
      <c r="L15" s="1">
        <v>57.649419569999999</v>
      </c>
    </row>
    <row r="16" spans="1:12" ht="21" x14ac:dyDescent="0.4">
      <c r="A16" s="1" t="s">
        <v>23</v>
      </c>
      <c r="B16" s="1">
        <v>6</v>
      </c>
      <c r="C16" s="1">
        <v>21</v>
      </c>
      <c r="D16" s="1">
        <v>21.16</v>
      </c>
      <c r="E16" s="1">
        <v>21.28</v>
      </c>
      <c r="F16" s="3">
        <f t="shared" si="0"/>
        <v>21.146666666666665</v>
      </c>
      <c r="G16" s="1">
        <v>21.273640990000001</v>
      </c>
      <c r="H16" s="2">
        <f t="shared" si="1"/>
        <v>-0.1269743233333358</v>
      </c>
      <c r="I16" s="1">
        <v>0.93462775099999995</v>
      </c>
      <c r="J16" s="1">
        <v>0.94363894299999995</v>
      </c>
      <c r="K16" s="1">
        <v>96.233003719999999</v>
      </c>
      <c r="L16" s="1">
        <v>56.045636190000003</v>
      </c>
    </row>
    <row r="17" spans="1:12" ht="21" x14ac:dyDescent="0.4">
      <c r="A17" s="1" t="s">
        <v>24</v>
      </c>
      <c r="B17" s="1">
        <v>6</v>
      </c>
      <c r="C17" s="1">
        <v>20.27</v>
      </c>
      <c r="D17" s="1">
        <v>19.98</v>
      </c>
      <c r="E17" s="1">
        <v>20.170000000000002</v>
      </c>
      <c r="F17" s="3">
        <f t="shared" si="0"/>
        <v>20.14</v>
      </c>
      <c r="G17" s="1">
        <v>20.093785650000001</v>
      </c>
      <c r="H17" s="2">
        <f t="shared" si="1"/>
        <v>4.6214349999999627E-2</v>
      </c>
      <c r="I17" s="1">
        <v>0.97234123900000002</v>
      </c>
      <c r="J17" s="1">
        <v>0.91296734300000004</v>
      </c>
      <c r="K17" s="1">
        <v>97.4348375</v>
      </c>
      <c r="L17" s="1">
        <v>57.09325003</v>
      </c>
    </row>
    <row r="18" spans="1:12" ht="21" x14ac:dyDescent="0.4">
      <c r="A18" s="1" t="s">
        <v>25</v>
      </c>
      <c r="B18" s="1">
        <v>6</v>
      </c>
      <c r="C18" s="1">
        <v>21.25</v>
      </c>
      <c r="D18" s="1">
        <v>21.34</v>
      </c>
      <c r="E18" s="1">
        <v>21.52</v>
      </c>
      <c r="F18" s="3">
        <f t="shared" si="0"/>
        <v>21.37</v>
      </c>
      <c r="G18" s="1">
        <v>21.43158992</v>
      </c>
      <c r="H18" s="2">
        <f t="shared" si="1"/>
        <v>-6.158991999999941E-2</v>
      </c>
      <c r="I18" s="1">
        <v>0.94276351899999999</v>
      </c>
      <c r="J18" s="1">
        <v>0.88202524299999996</v>
      </c>
      <c r="K18" s="1">
        <v>95.094437970000001</v>
      </c>
      <c r="L18" s="1">
        <v>57.471416740000002</v>
      </c>
    </row>
    <row r="19" spans="1:12" ht="21" x14ac:dyDescent="0.4">
      <c r="A19" s="1" t="s">
        <v>26</v>
      </c>
      <c r="B19" s="1">
        <v>6</v>
      </c>
      <c r="C19" s="1">
        <v>21.4</v>
      </c>
      <c r="D19" s="1">
        <v>21.66</v>
      </c>
      <c r="E19" s="1">
        <v>21.86</v>
      </c>
      <c r="F19" s="3">
        <f t="shared" si="0"/>
        <v>21.64</v>
      </c>
      <c r="G19" s="1">
        <v>21.52935012</v>
      </c>
      <c r="H19" s="2">
        <f t="shared" si="1"/>
        <v>0.11064988000000042</v>
      </c>
      <c r="I19" s="1">
        <v>0.95000605900000001</v>
      </c>
      <c r="J19" s="1">
        <v>0.91284649900000003</v>
      </c>
      <c r="K19" s="1">
        <v>96.595881840000004</v>
      </c>
      <c r="L19" s="1">
        <v>58.309908290000003</v>
      </c>
    </row>
    <row r="20" spans="1:12" ht="21" x14ac:dyDescent="0.4">
      <c r="A20" s="1" t="s">
        <v>27</v>
      </c>
      <c r="B20" s="1">
        <v>6</v>
      </c>
      <c r="C20" s="1">
        <v>20.54</v>
      </c>
      <c r="D20" s="1">
        <v>20.52</v>
      </c>
      <c r="E20" s="1">
        <v>20.54</v>
      </c>
      <c r="F20" s="3">
        <f t="shared" si="0"/>
        <v>20.533333333333335</v>
      </c>
      <c r="G20" s="1">
        <v>20.678665590000001</v>
      </c>
      <c r="H20" s="2">
        <f t="shared" si="1"/>
        <v>-0.14533225666666638</v>
      </c>
      <c r="I20" s="1">
        <v>0.97390865900000001</v>
      </c>
      <c r="J20" s="1">
        <v>0.93867543499999995</v>
      </c>
      <c r="K20" s="1">
        <v>96.453924060000006</v>
      </c>
      <c r="L20" s="1">
        <v>55.284376600000002</v>
      </c>
    </row>
    <row r="21" spans="1:12" ht="21" x14ac:dyDescent="0.4">
      <c r="A21" s="1" t="s">
        <v>28</v>
      </c>
      <c r="B21" s="1">
        <v>6</v>
      </c>
      <c r="C21" s="1">
        <v>20.82</v>
      </c>
      <c r="D21" s="1">
        <v>21.02</v>
      </c>
      <c r="E21" s="1">
        <v>21.05</v>
      </c>
      <c r="F21" s="3">
        <f t="shared" si="0"/>
        <v>20.963333333333335</v>
      </c>
      <c r="G21" s="1">
        <v>20.194477320000001</v>
      </c>
      <c r="H21" s="2">
        <f t="shared" si="1"/>
        <v>0.76885601333333398</v>
      </c>
      <c r="I21" s="1">
        <v>0.81724666000000001</v>
      </c>
      <c r="J21" s="1">
        <v>0.90649149900000003</v>
      </c>
      <c r="K21" s="1">
        <v>88.084223559999998</v>
      </c>
      <c r="L21" s="1">
        <v>51.468435360000001</v>
      </c>
    </row>
    <row r="22" spans="1:12" ht="21" x14ac:dyDescent="0.4">
      <c r="H22" s="2"/>
    </row>
  </sheetData>
  <conditionalFormatting sqref="H2:H21">
    <cfRule type="cellIs" dxfId="0" priority="2" operator="greaterThan">
      <formula>0.5</formula>
    </cfRule>
    <cfRule type="cellIs" dxfId="1" priority="1" operator="lessThan">
      <formula>-0.5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Grade 3</vt:lpstr>
      <vt:lpstr>Grade 4</vt:lpstr>
      <vt:lpstr>Grade 5</vt:lpstr>
      <vt:lpstr>Grade 6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Viren Gupta</cp:lastModifiedBy>
  <dcterms:created xsi:type="dcterms:W3CDTF">2026-07-07T06:23:47Z</dcterms:created>
  <dcterms:modified xsi:type="dcterms:W3CDTF">2026-07-11T14:09:58Z</dcterms:modified>
</cp:coreProperties>
</file>